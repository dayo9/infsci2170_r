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150" windowWidth="12375" windowHeight="12270" activeTab="1"/>
  </bookViews>
  <sheets>
    <sheet name="Sheet8" sheetId="8" r:id="rId1"/>
    <sheet name="Sheet1" sheetId="1" r:id="rId2"/>
    <sheet name="Sheet2" sheetId="2" r:id="rId3"/>
    <sheet name="Sheet3" sheetId="3" r:id="rId4"/>
  </sheets>
  <functionGroups/>
  <definedNames>
    <definedName name="coursera_quiz1_pb7a" localSheetId="1">Sheet1!$B$5:$B$8</definedName>
    <definedName name="coursera_quiz1_pb7a" localSheetId="0">Sheet8!$A$3:$N$4</definedName>
    <definedName name="coursera_quiz1_pb7a_1" localSheetId="0">Sheet8!$A$1:$N$2</definedName>
    <definedName name="coursera_quiz1_pb7b" localSheetId="0">Sheet8!$A$8:$N$9</definedName>
  </definedNames>
  <calcPr calcId="124519"/>
</workbook>
</file>

<file path=xl/calcChain.xml><?xml version="1.0" encoding="utf-8"?>
<calcChain xmlns="http://schemas.openxmlformats.org/spreadsheetml/2006/main">
  <c r="C34" i="1"/>
  <c r="B34"/>
  <c r="D34"/>
  <c r="E34"/>
  <c r="F34"/>
  <c r="G34"/>
  <c r="H34"/>
  <c r="I34"/>
  <c r="J34"/>
  <c r="K34"/>
  <c r="L34"/>
  <c r="M34"/>
  <c r="N34"/>
  <c r="O34"/>
  <c r="C30"/>
  <c r="D30"/>
  <c r="E30"/>
  <c r="F30"/>
  <c r="G30"/>
  <c r="H30"/>
  <c r="I30"/>
  <c r="J30"/>
  <c r="K30"/>
  <c r="L30"/>
  <c r="M30"/>
  <c r="N30"/>
  <c r="O30"/>
  <c r="B30"/>
  <c r="C32"/>
  <c r="D32"/>
  <c r="E32"/>
  <c r="F32"/>
  <c r="G32"/>
  <c r="H32"/>
  <c r="I32"/>
  <c r="J32"/>
  <c r="K32"/>
  <c r="L32"/>
  <c r="M32"/>
  <c r="N32"/>
  <c r="O32"/>
  <c r="C29"/>
  <c r="D29"/>
  <c r="E29"/>
  <c r="F29"/>
  <c r="G29"/>
  <c r="H29"/>
  <c r="I29"/>
  <c r="J29"/>
  <c r="K29"/>
  <c r="L29"/>
  <c r="M29"/>
  <c r="N29"/>
  <c r="O29"/>
  <c r="B29"/>
  <c r="C28"/>
  <c r="D28"/>
  <c r="E28"/>
  <c r="F28"/>
  <c r="G28"/>
  <c r="H28"/>
  <c r="I28"/>
  <c r="J28"/>
  <c r="K28"/>
  <c r="L28"/>
  <c r="M28"/>
  <c r="N28"/>
  <c r="O28"/>
  <c r="B28"/>
  <c r="C7"/>
  <c r="D7"/>
  <c r="E7"/>
  <c r="F7"/>
  <c r="G7"/>
  <c r="H7"/>
  <c r="I7"/>
  <c r="J7"/>
  <c r="K7"/>
  <c r="L7"/>
  <c r="M7"/>
  <c r="N7"/>
  <c r="O7"/>
  <c r="B7"/>
  <c r="C6"/>
  <c r="D6"/>
  <c r="E6"/>
  <c r="F6"/>
  <c r="G6"/>
  <c r="H6"/>
  <c r="I6"/>
  <c r="J6"/>
  <c r="K6"/>
  <c r="L6"/>
  <c r="M6"/>
  <c r="N6"/>
  <c r="O6"/>
  <c r="B6"/>
  <c r="C26"/>
  <c r="D26"/>
  <c r="E26"/>
  <c r="F26"/>
  <c r="G26"/>
  <c r="I26"/>
  <c r="J26"/>
  <c r="L26"/>
  <c r="M26"/>
  <c r="N26"/>
  <c r="O26"/>
  <c r="B26"/>
  <c r="J24"/>
  <c r="B32"/>
  <c r="H26"/>
  <c r="K26"/>
  <c r="C24"/>
  <c r="D24"/>
  <c r="E24"/>
  <c r="F24"/>
  <c r="G24"/>
  <c r="H24"/>
  <c r="I24"/>
  <c r="K24"/>
  <c r="L24"/>
  <c r="M24"/>
  <c r="N24"/>
  <c r="O24"/>
  <c r="B25"/>
  <c r="H25"/>
  <c r="I25"/>
  <c r="J25"/>
  <c r="K25"/>
  <c r="L25"/>
  <c r="M25"/>
  <c r="N25"/>
  <c r="O25"/>
  <c r="C25"/>
  <c r="D25"/>
  <c r="E25"/>
  <c r="F25"/>
  <c r="G25"/>
  <c r="C23"/>
  <c r="D23"/>
  <c r="E23"/>
  <c r="F23"/>
  <c r="G23"/>
  <c r="H23"/>
  <c r="I23"/>
  <c r="J23"/>
  <c r="K23"/>
  <c r="L23"/>
  <c r="M23"/>
  <c r="N23"/>
  <c r="O23"/>
  <c r="B23"/>
  <c r="C11"/>
  <c r="D11"/>
  <c r="E11"/>
  <c r="F11"/>
  <c r="G11"/>
  <c r="H11"/>
  <c r="I11"/>
  <c r="J11"/>
  <c r="K11"/>
  <c r="L11"/>
  <c r="M11"/>
  <c r="N11"/>
  <c r="O11"/>
  <c r="B11"/>
  <c r="B24"/>
  <c r="C16"/>
  <c r="C14" s="1"/>
  <c r="D16"/>
  <c r="D14" s="1"/>
  <c r="E16"/>
  <c r="E14" s="1"/>
  <c r="F16"/>
  <c r="F14" s="1"/>
  <c r="G16"/>
  <c r="G14" s="1"/>
  <c r="H16"/>
  <c r="H14" s="1"/>
  <c r="I16"/>
  <c r="I14" s="1"/>
  <c r="J16"/>
  <c r="J14" s="1"/>
  <c r="K16"/>
  <c r="K14" s="1"/>
  <c r="L16"/>
  <c r="L14" s="1"/>
  <c r="M16"/>
  <c r="M14" s="1"/>
  <c r="N16"/>
  <c r="N14" s="1"/>
  <c r="O16"/>
  <c r="O14" s="1"/>
  <c r="B16"/>
  <c r="B14" s="1"/>
  <c r="B19" l="1"/>
  <c r="O19"/>
  <c r="N19"/>
  <c r="M19"/>
  <c r="L19"/>
  <c r="K19"/>
  <c r="J19"/>
  <c r="I19"/>
  <c r="H19"/>
  <c r="G19"/>
  <c r="F19"/>
  <c r="E19"/>
  <c r="D19"/>
  <c r="C19"/>
</calcChain>
</file>

<file path=xl/connections.xml><?xml version="1.0" encoding="utf-8"?>
<connections xmlns="http://schemas.openxmlformats.org/spreadsheetml/2006/main">
  <connection id="1" name="coursera_quiz1_pb7a" type="6" refreshedVersion="3" background="1" saveData="1">
    <textPr codePage="437" firstRow="9" sourceFile="G:\F\drive_r\pitt\infsci2170\infsci2170_r\coursera_quiz1_pb7a.txt" tab="0" space="1" consecutive="1">
      <textFields count="14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coursera_quiz1_pb7a1" type="6" refreshedVersion="3" background="1" saveData="1">
    <textPr codePage="437" sourceFile="G:\F\drive_r\pitt\infsci2170\infsci2170_r\coursera_quiz1_pb7a.txt" tab="0" space="1" consecutive="1">
      <textFields count="14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coursera_quiz1_pb7a2" type="6" refreshedVersion="3" background="1" saveData="1">
    <textPr codePage="437" sourceFile="G:\F\drive_r\pitt\infsci2170\infsci2170_r\coursera_quiz1_pb7a.txt" tab="0" space="1">
      <textFields count="14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" name="coursera_quiz1_pb7b" type="6" refreshedVersion="3" background="1" saveData="1">
    <textPr codePage="437" sourceFile="G:\F\drive_r\pitt\infsci2170\infsci2170_r\coursera_quiz1_pb7b.txt" tab="0" space="1">
      <textFields count="14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<sst xmlns="http://schemas.openxmlformats.org/spreadsheetml/2006/main" count="113" uniqueCount="55">
  <si>
    <t>01100001</t>
  </si>
  <si>
    <t>00001001</t>
  </si>
  <si>
    <t>01110100</t>
  </si>
  <si>
    <t>01100011</t>
  </si>
  <si>
    <t>01101011</t>
  </si>
  <si>
    <t>00100000</t>
  </si>
  <si>
    <t>01100100</t>
  </si>
  <si>
    <t>01110111</t>
  </si>
  <si>
    <t>01101110</t>
  </si>
  <si>
    <t>11100001</t>
  </si>
  <si>
    <t>11000101</t>
  </si>
  <si>
    <t>11110111</t>
  </si>
  <si>
    <t>00001010</t>
  </si>
  <si>
    <t>01100101</t>
  </si>
  <si>
    <t>10101100</t>
  </si>
  <si>
    <t>01010001</t>
  </si>
  <si>
    <t>10010100</t>
  </si>
  <si>
    <t>01011000</t>
  </si>
  <si>
    <t>11100111</t>
  </si>
  <si>
    <t>11100101</t>
  </si>
  <si>
    <t>00111111</t>
  </si>
  <si>
    <t>00110110</t>
  </si>
  <si>
    <t>orig xor</t>
  </si>
  <si>
    <t>format xor</t>
  </si>
  <si>
    <t>=&gt; key =</t>
  </si>
  <si>
    <t>message1:</t>
  </si>
  <si>
    <t>message2</t>
  </si>
  <si>
    <t>cipher (hex)</t>
  </si>
  <si>
    <t>cipher (bin-8)</t>
  </si>
  <si>
    <t>e1</t>
  </si>
  <si>
    <t>c5</t>
  </si>
  <si>
    <t>f7</t>
  </si>
  <si>
    <t>0a</t>
  </si>
  <si>
    <t>ac</t>
  </si>
  <si>
    <t>e7</t>
  </si>
  <si>
    <t>e5</t>
  </si>
  <si>
    <t>3f</t>
  </si>
  <si>
    <t>hex2bin:</t>
  </si>
  <si>
    <t>a</t>
  </si>
  <si>
    <t>t</t>
  </si>
  <si>
    <t>c</t>
  </si>
  <si>
    <t>k</t>
  </si>
  <si>
    <t>d</t>
  </si>
  <si>
    <t>u</t>
  </si>
  <si>
    <t>s</t>
  </si>
  <si>
    <t xml:space="preserve"> </t>
  </si>
  <si>
    <t>ascii</t>
  </si>
  <si>
    <t>format ascii</t>
  </si>
  <si>
    <t>dec2oct</t>
  </si>
  <si>
    <t>format dec2oct</t>
  </si>
  <si>
    <t>w</t>
  </si>
  <si>
    <t>n</t>
  </si>
  <si>
    <t>dec2bin-8</t>
  </si>
  <si>
    <t>key</t>
  </si>
  <si>
    <t>bin2hex-2</t>
  </si>
</sst>
</file>

<file path=xl/styles.xml><?xml version="1.0" encoding="utf-8"?>
<styleSheet xmlns="http://schemas.openxmlformats.org/spreadsheetml/2006/main">
  <numFmts count="3">
    <numFmt numFmtId="164" formatCode="00000000"/>
    <numFmt numFmtId="165" formatCode="00"/>
    <numFmt numFmtId="166" formatCode="000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0" fillId="0" borderId="0" xfId="0" applyNumberFormat="1"/>
    <xf numFmtId="0" fontId="0" fillId="0" borderId="0" xfId="0" quotePrefix="1"/>
    <xf numFmtId="0" fontId="0" fillId="0" borderId="0" xfId="0" applyNumberFormat="1"/>
    <xf numFmtId="164" fontId="0" fillId="0" borderId="0" xfId="0" applyNumberFormat="1"/>
    <xf numFmtId="164" fontId="0" fillId="0" borderId="0" xfId="0" quotePrefix="1" applyNumberFormat="1"/>
    <xf numFmtId="165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coursera_quiz1_pb7b" connectionId="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coursera_quiz1_pb7a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coursera_quiz1_pb7a_1" connectionId="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coursera_quiz1_pb7a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/>
  <dimension ref="A1:N8"/>
  <sheetViews>
    <sheetView topLeftCell="L1" workbookViewId="0">
      <selection activeCell="A8" sqref="A8:N8"/>
    </sheetView>
  </sheetViews>
  <sheetFormatPr defaultRowHeight="15"/>
  <cols>
    <col min="1" max="14" width="9" bestFit="1" customWidth="1"/>
  </cols>
  <sheetData>
    <row r="1" spans="1:14">
      <c r="A1" s="1" t="s">
        <v>0</v>
      </c>
      <c r="B1">
        <v>1110100</v>
      </c>
      <c r="C1">
        <v>1110100</v>
      </c>
      <c r="D1">
        <v>1100001</v>
      </c>
      <c r="E1">
        <v>1100011</v>
      </c>
      <c r="F1">
        <v>1101011</v>
      </c>
      <c r="G1">
        <v>100000</v>
      </c>
      <c r="H1">
        <v>1100001</v>
      </c>
      <c r="I1">
        <v>1110100</v>
      </c>
      <c r="J1">
        <v>100000</v>
      </c>
      <c r="K1">
        <v>1100100</v>
      </c>
      <c r="L1">
        <v>1100001</v>
      </c>
      <c r="M1">
        <v>1110111</v>
      </c>
      <c r="N1">
        <v>1101110</v>
      </c>
    </row>
    <row r="3" spans="1:14">
      <c r="A3" s="1" t="s">
        <v>0</v>
      </c>
      <c r="B3" s="1" t="s">
        <v>2</v>
      </c>
      <c r="C3" s="1" t="s">
        <v>2</v>
      </c>
      <c r="D3" s="1" t="s">
        <v>0</v>
      </c>
      <c r="E3" s="1" t="s">
        <v>3</v>
      </c>
      <c r="F3" s="1" t="s">
        <v>4</v>
      </c>
      <c r="G3" s="1" t="s">
        <v>5</v>
      </c>
      <c r="H3" s="1" t="s">
        <v>0</v>
      </c>
      <c r="I3" s="1" t="s">
        <v>2</v>
      </c>
      <c r="J3" s="1" t="s">
        <v>5</v>
      </c>
      <c r="K3" s="1" t="s">
        <v>6</v>
      </c>
      <c r="L3" s="1" t="s">
        <v>0</v>
      </c>
      <c r="M3" s="1" t="s">
        <v>7</v>
      </c>
      <c r="N3" s="1" t="s">
        <v>8</v>
      </c>
    </row>
    <row r="8" spans="1:14">
      <c r="A8" s="1" t="s">
        <v>1</v>
      </c>
      <c r="B8" s="1" t="s">
        <v>9</v>
      </c>
      <c r="C8" s="1" t="s">
        <v>10</v>
      </c>
      <c r="D8" s="1" t="s">
        <v>11</v>
      </c>
      <c r="E8" s="1" t="s">
        <v>12</v>
      </c>
      <c r="F8" s="1" t="s">
        <v>13</v>
      </c>
      <c r="G8" s="1" t="s">
        <v>14</v>
      </c>
      <c r="H8" s="1" t="s">
        <v>15</v>
      </c>
      <c r="I8" s="1" t="s">
        <v>16</v>
      </c>
      <c r="J8" s="1" t="s">
        <v>17</v>
      </c>
      <c r="K8" s="1" t="s">
        <v>18</v>
      </c>
      <c r="L8" s="1" t="s">
        <v>19</v>
      </c>
      <c r="M8" s="1" t="s">
        <v>20</v>
      </c>
      <c r="N8" s="1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P39"/>
  <sheetViews>
    <sheetView tabSelected="1" topLeftCell="D1" workbookViewId="0">
      <selection activeCell="I35" sqref="I35"/>
    </sheetView>
  </sheetViews>
  <sheetFormatPr defaultRowHeight="15"/>
  <cols>
    <col min="1" max="1" width="14.42578125" bestFit="1" customWidth="1"/>
    <col min="2" max="2" width="9.85546875" style="4" customWidth="1"/>
  </cols>
  <sheetData>
    <row r="1" spans="1:15"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5">
      <c r="B2" s="4">
        <v>1100001</v>
      </c>
      <c r="C2" s="4">
        <v>1110100</v>
      </c>
      <c r="D2" s="5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5">
      <c r="B3" s="4">
        <v>1001000</v>
      </c>
      <c r="C3" s="4"/>
      <c r="D3" s="5"/>
      <c r="E3" s="4"/>
      <c r="F3" s="4"/>
      <c r="G3" s="4"/>
      <c r="H3" s="4"/>
      <c r="I3" s="4"/>
      <c r="J3" s="4"/>
      <c r="K3" s="4"/>
      <c r="L3" s="4"/>
      <c r="M3" s="4"/>
      <c r="N3" s="4"/>
    </row>
    <row r="4" spans="1:15"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5">
      <c r="A5" t="s">
        <v>25</v>
      </c>
      <c r="B5" s="4" t="s">
        <v>38</v>
      </c>
      <c r="C5" s="4" t="s">
        <v>39</v>
      </c>
      <c r="D5" s="4" t="s">
        <v>39</v>
      </c>
      <c r="E5" s="4" t="s">
        <v>38</v>
      </c>
      <c r="F5" s="4" t="s">
        <v>40</v>
      </c>
      <c r="G5" s="4" t="s">
        <v>41</v>
      </c>
      <c r="H5" s="4" t="s">
        <v>45</v>
      </c>
      <c r="I5" s="4" t="s">
        <v>38</v>
      </c>
      <c r="J5" s="4" t="s">
        <v>39</v>
      </c>
      <c r="K5" s="4" t="s">
        <v>45</v>
      </c>
      <c r="L5" s="4" t="s">
        <v>42</v>
      </c>
      <c r="M5" s="4" t="s">
        <v>38</v>
      </c>
      <c r="N5" s="4" t="s">
        <v>50</v>
      </c>
      <c r="O5" s="4" t="s">
        <v>51</v>
      </c>
    </row>
    <row r="6" spans="1:15">
      <c r="A6" t="s">
        <v>46</v>
      </c>
      <c r="B6" s="3">
        <f>CODE(B5)</f>
        <v>97</v>
      </c>
      <c r="C6" s="3">
        <f t="shared" ref="C6:O6" si="0">CODE(C5)</f>
        <v>116</v>
      </c>
      <c r="D6" s="3">
        <f t="shared" si="0"/>
        <v>116</v>
      </c>
      <c r="E6" s="3">
        <f t="shared" si="0"/>
        <v>97</v>
      </c>
      <c r="F6" s="3">
        <f t="shared" si="0"/>
        <v>99</v>
      </c>
      <c r="G6" s="3">
        <f t="shared" si="0"/>
        <v>107</v>
      </c>
      <c r="H6" s="3">
        <f t="shared" si="0"/>
        <v>32</v>
      </c>
      <c r="I6" s="3">
        <f t="shared" si="0"/>
        <v>97</v>
      </c>
      <c r="J6" s="3">
        <f t="shared" si="0"/>
        <v>116</v>
      </c>
      <c r="K6" s="3">
        <f t="shared" si="0"/>
        <v>32</v>
      </c>
      <c r="L6" s="3">
        <f t="shared" si="0"/>
        <v>100</v>
      </c>
      <c r="M6" s="3">
        <f t="shared" si="0"/>
        <v>97</v>
      </c>
      <c r="N6" s="3">
        <f t="shared" si="0"/>
        <v>119</v>
      </c>
      <c r="O6" s="3">
        <f t="shared" si="0"/>
        <v>110</v>
      </c>
    </row>
    <row r="7" spans="1:15">
      <c r="A7" t="s">
        <v>52</v>
      </c>
      <c r="B7" s="4" t="str">
        <f>DEC2BIN(B6,8)</f>
        <v>01100001</v>
      </c>
      <c r="C7" s="4" t="str">
        <f t="shared" ref="C7:O7" si="1">DEC2BIN(C6,8)</f>
        <v>01110100</v>
      </c>
      <c r="D7" s="4" t="str">
        <f t="shared" si="1"/>
        <v>01110100</v>
      </c>
      <c r="E7" s="4" t="str">
        <f t="shared" si="1"/>
        <v>01100001</v>
      </c>
      <c r="F7" s="4" t="str">
        <f t="shared" si="1"/>
        <v>01100011</v>
      </c>
      <c r="G7" s="4" t="str">
        <f t="shared" si="1"/>
        <v>01101011</v>
      </c>
      <c r="H7" s="4" t="str">
        <f t="shared" si="1"/>
        <v>00100000</v>
      </c>
      <c r="I7" s="4" t="str">
        <f t="shared" si="1"/>
        <v>01100001</v>
      </c>
      <c r="J7" s="4" t="str">
        <f t="shared" si="1"/>
        <v>01110100</v>
      </c>
      <c r="K7" s="4" t="str">
        <f t="shared" si="1"/>
        <v>00100000</v>
      </c>
      <c r="L7" s="4" t="str">
        <f t="shared" si="1"/>
        <v>01100100</v>
      </c>
      <c r="M7" s="4" t="str">
        <f t="shared" si="1"/>
        <v>01100001</v>
      </c>
      <c r="N7" s="4" t="str">
        <f t="shared" si="1"/>
        <v>01110111</v>
      </c>
      <c r="O7" s="4" t="str">
        <f t="shared" si="1"/>
        <v>01101110</v>
      </c>
    </row>
    <row r="8" spans="1:15">
      <c r="A8" t="s">
        <v>25</v>
      </c>
      <c r="B8" s="1" t="s">
        <v>0</v>
      </c>
      <c r="C8" s="1" t="s">
        <v>2</v>
      </c>
      <c r="D8" s="1" t="s">
        <v>2</v>
      </c>
      <c r="E8" s="1" t="s">
        <v>0</v>
      </c>
      <c r="F8" s="1" t="s">
        <v>3</v>
      </c>
      <c r="G8" s="1" t="s">
        <v>4</v>
      </c>
      <c r="H8" s="1" t="s">
        <v>5</v>
      </c>
      <c r="I8" s="1" t="s">
        <v>0</v>
      </c>
      <c r="J8" s="1" t="s">
        <v>2</v>
      </c>
      <c r="K8" s="1" t="s">
        <v>5</v>
      </c>
      <c r="L8" s="1" t="s">
        <v>6</v>
      </c>
      <c r="M8" s="1" t="s">
        <v>0</v>
      </c>
      <c r="N8" s="1" t="s">
        <v>7</v>
      </c>
      <c r="O8" s="1" t="s">
        <v>8</v>
      </c>
    </row>
    <row r="10" spans="1:15">
      <c r="A10" t="s">
        <v>27</v>
      </c>
      <c r="B10" s="6">
        <v>9</v>
      </c>
      <c r="C10" s="6" t="s">
        <v>29</v>
      </c>
      <c r="D10" s="6" t="s">
        <v>30</v>
      </c>
      <c r="E10" s="6" t="s">
        <v>31</v>
      </c>
      <c r="F10" s="6" t="s">
        <v>32</v>
      </c>
      <c r="G10" s="6">
        <v>65</v>
      </c>
      <c r="H10" s="6" t="s">
        <v>33</v>
      </c>
      <c r="I10" s="6">
        <v>51</v>
      </c>
      <c r="J10" s="6">
        <v>94</v>
      </c>
      <c r="K10" s="6">
        <v>58</v>
      </c>
      <c r="L10" s="6" t="s">
        <v>34</v>
      </c>
      <c r="M10" s="6" t="s">
        <v>35</v>
      </c>
      <c r="N10" s="6" t="s">
        <v>36</v>
      </c>
      <c r="O10" s="6">
        <v>36</v>
      </c>
    </row>
    <row r="11" spans="1:15">
      <c r="A11" t="s">
        <v>37</v>
      </c>
      <c r="B11" s="4" t="str">
        <f>HEX2BIN(B10,8)</f>
        <v>00001001</v>
      </c>
      <c r="C11" s="4" t="str">
        <f t="shared" ref="C11:O11" si="2">HEX2BIN(C10,8)</f>
        <v>11100001</v>
      </c>
      <c r="D11" s="4" t="str">
        <f t="shared" si="2"/>
        <v>11000101</v>
      </c>
      <c r="E11" s="4" t="str">
        <f t="shared" si="2"/>
        <v>11110111</v>
      </c>
      <c r="F11" s="4" t="str">
        <f t="shared" si="2"/>
        <v>00001010</v>
      </c>
      <c r="G11" s="4" t="str">
        <f t="shared" si="2"/>
        <v>01100101</v>
      </c>
      <c r="H11" s="4" t="str">
        <f t="shared" si="2"/>
        <v>10101100</v>
      </c>
      <c r="I11" s="4" t="str">
        <f t="shared" si="2"/>
        <v>01010001</v>
      </c>
      <c r="J11" s="4" t="str">
        <f t="shared" si="2"/>
        <v>10010100</v>
      </c>
      <c r="K11" s="4" t="str">
        <f t="shared" si="2"/>
        <v>01011000</v>
      </c>
      <c r="L11" s="4" t="str">
        <f t="shared" si="2"/>
        <v>11100111</v>
      </c>
      <c r="M11" s="4" t="str">
        <f t="shared" si="2"/>
        <v>11100101</v>
      </c>
      <c r="N11" s="4" t="str">
        <f t="shared" si="2"/>
        <v>00111111</v>
      </c>
      <c r="O11" s="4" t="str">
        <f t="shared" si="2"/>
        <v>00110110</v>
      </c>
    </row>
    <row r="13" spans="1:15">
      <c r="A13" t="s">
        <v>28</v>
      </c>
      <c r="B13" s="1" t="s">
        <v>1</v>
      </c>
      <c r="C13" s="1" t="s">
        <v>9</v>
      </c>
      <c r="D13" s="1" t="s">
        <v>10</v>
      </c>
      <c r="E13" s="1" t="s">
        <v>11</v>
      </c>
      <c r="F13" s="1" t="s">
        <v>12</v>
      </c>
      <c r="G13" s="1" t="s">
        <v>13</v>
      </c>
      <c r="H13" s="1" t="s">
        <v>14</v>
      </c>
      <c r="I13" s="1" t="s">
        <v>15</v>
      </c>
      <c r="J13" s="1" t="s">
        <v>16</v>
      </c>
      <c r="K13" s="1" t="s">
        <v>17</v>
      </c>
      <c r="L13" s="1" t="s">
        <v>18</v>
      </c>
      <c r="M13" s="1" t="s">
        <v>19</v>
      </c>
      <c r="N13" s="1" t="s">
        <v>20</v>
      </c>
      <c r="O13" s="1" t="s">
        <v>21</v>
      </c>
    </row>
    <row r="14" spans="1:15">
      <c r="A14" t="s">
        <v>23</v>
      </c>
      <c r="B14" s="4" t="str">
        <f>IF(LEN(B16)&lt;LEN(B13),AddLeadingZeroes(B16,LEN(B13)),B16)</f>
        <v>01101000</v>
      </c>
      <c r="C14" s="4" t="str">
        <f>IF(LEN(C16)&lt;LEN(C13),AddLeadingZeroes(C16,LEN(C13)),C16)</f>
        <v>10010101</v>
      </c>
      <c r="D14" s="4" t="str">
        <f>IF(LEN(D16)&lt;LEN(D13),AddLeadingZeroes(D16,LEN(D13)),D16)</f>
        <v>10110001</v>
      </c>
      <c r="E14" s="4" t="str">
        <f>IF(LEN(E16)&lt;LEN(E13),AddLeadingZeroes(E16,LEN(E13)),E16)</f>
        <v>10010110</v>
      </c>
      <c r="F14" s="4" t="str">
        <f>IF(LEN(F16)&lt;LEN(F13),AddLeadingZeroes(F16,LEN(F13)),F16)</f>
        <v>01101001</v>
      </c>
      <c r="G14" s="4" t="str">
        <f>IF(LEN(G16)&lt;LEN(G13),AddLeadingZeroes(G16,LEN(G13)),G16)</f>
        <v>00001110</v>
      </c>
      <c r="H14" s="4" t="str">
        <f>IF(LEN(H16)&lt;LEN(H13),AddLeadingZeroes(H16,LEN(H13)),H16)</f>
        <v>10001100</v>
      </c>
      <c r="I14" s="4" t="str">
        <f>IF(LEN(I16)&lt;LEN(I13),AddLeadingZeroes(I16,LEN(I13)),I16)</f>
        <v>00110000</v>
      </c>
      <c r="J14" s="4" t="str">
        <f>IF(LEN(J16)&lt;LEN(J13),AddLeadingZeroes(J16,LEN(J13)),J16)</f>
        <v>11100000</v>
      </c>
      <c r="K14" s="4" t="str">
        <f>IF(LEN(K16)&lt;LEN(K13),AddLeadingZeroes(K16,LEN(K13)),K16)</f>
        <v>01111000</v>
      </c>
      <c r="L14" s="4" t="str">
        <f>IF(LEN(L16)&lt;LEN(L13),AddLeadingZeroes(L16,LEN(L13)),L16)</f>
        <v>10000011</v>
      </c>
      <c r="M14" s="4" t="str">
        <f>IF(LEN(M16)&lt;LEN(M13),AddLeadingZeroes(M16,LEN(M13)),M16)</f>
        <v>10000100</v>
      </c>
      <c r="N14" s="4" t="str">
        <f>IF(LEN(N16)&lt;LEN(N13),AddLeadingZeroes(N16,LEN(N13)),N16)</f>
        <v>01001000</v>
      </c>
      <c r="O14" s="4" t="str">
        <f>IF(LEN(O16)&lt;LEN(O13),AddLeadingZeroes(O16,LEN(O13)),O16)</f>
        <v>01011000</v>
      </c>
    </row>
    <row r="16" spans="1:15">
      <c r="A16" t="s">
        <v>22</v>
      </c>
      <c r="B16" s="4" t="str">
        <f>Exor(B8,B13)</f>
        <v>1101000</v>
      </c>
      <c r="C16" s="4" t="str">
        <f>Exor(C8,C13)</f>
        <v>10010101</v>
      </c>
      <c r="D16" s="4" t="str">
        <f>Exor(D8,D13)</f>
        <v>10110001</v>
      </c>
      <c r="E16" s="4" t="str">
        <f>Exor(E8,E13)</f>
        <v>10010110</v>
      </c>
      <c r="F16" s="4" t="str">
        <f>Exor(F8,F13)</f>
        <v>1101001</v>
      </c>
      <c r="G16" s="4" t="str">
        <f>Exor(G8,G13)</f>
        <v>1110</v>
      </c>
      <c r="H16" s="4" t="str">
        <f>Exor(H8,H13)</f>
        <v>10001100</v>
      </c>
      <c r="I16" s="4" t="str">
        <f>Exor(I8,I13)</f>
        <v>110000</v>
      </c>
      <c r="J16" s="4" t="str">
        <f>Exor(J8,J13)</f>
        <v>11100000</v>
      </c>
      <c r="K16" s="4" t="str">
        <f>Exor(K8,K13)</f>
        <v>1111000</v>
      </c>
      <c r="L16" s="4" t="str">
        <f>Exor(L8,L13)</f>
        <v>10000011</v>
      </c>
      <c r="M16" s="4" t="str">
        <f>Exor(M8,M13)</f>
        <v>10000100</v>
      </c>
      <c r="N16" s="4" t="str">
        <f>Exor(N8,N13)</f>
        <v>1001000</v>
      </c>
      <c r="O16" s="4" t="str">
        <f>Exor(O8,O13)</f>
        <v>1011000</v>
      </c>
    </row>
    <row r="17" spans="1:16"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</row>
    <row r="18" spans="1:16"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</row>
    <row r="19" spans="1:16">
      <c r="A19" s="2" t="s">
        <v>24</v>
      </c>
      <c r="B19" s="4" t="str">
        <f>B14</f>
        <v>01101000</v>
      </c>
      <c r="C19" s="4" t="str">
        <f t="shared" ref="C19:O19" si="3">C14</f>
        <v>10010101</v>
      </c>
      <c r="D19" s="4" t="str">
        <f t="shared" si="3"/>
        <v>10110001</v>
      </c>
      <c r="E19" s="4" t="str">
        <f t="shared" si="3"/>
        <v>10010110</v>
      </c>
      <c r="F19" s="4" t="str">
        <f t="shared" si="3"/>
        <v>01101001</v>
      </c>
      <c r="G19" s="4" t="str">
        <f t="shared" si="3"/>
        <v>00001110</v>
      </c>
      <c r="H19" s="4" t="str">
        <f t="shared" si="3"/>
        <v>10001100</v>
      </c>
      <c r="I19" s="4" t="str">
        <f t="shared" si="3"/>
        <v>00110000</v>
      </c>
      <c r="J19" s="4" t="str">
        <f t="shared" si="3"/>
        <v>11100000</v>
      </c>
      <c r="K19" s="4" t="str">
        <f t="shared" si="3"/>
        <v>01111000</v>
      </c>
      <c r="L19" s="4" t="str">
        <f t="shared" si="3"/>
        <v>10000011</v>
      </c>
      <c r="M19" s="4" t="str">
        <f t="shared" si="3"/>
        <v>10000100</v>
      </c>
      <c r="N19" s="4" t="str">
        <f t="shared" si="3"/>
        <v>01001000</v>
      </c>
      <c r="O19" s="4" t="str">
        <f t="shared" si="3"/>
        <v>01011000</v>
      </c>
    </row>
    <row r="20" spans="1:16"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</row>
    <row r="21" spans="1:16"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</row>
    <row r="22" spans="1:16">
      <c r="A22" t="s">
        <v>26</v>
      </c>
      <c r="B22" s="4" t="s">
        <v>38</v>
      </c>
      <c r="C22" s="4" t="s">
        <v>39</v>
      </c>
      <c r="D22" s="4" t="s">
        <v>39</v>
      </c>
      <c r="E22" s="4" t="s">
        <v>38</v>
      </c>
      <c r="F22" s="4" t="s">
        <v>40</v>
      </c>
      <c r="G22" s="4" t="s">
        <v>41</v>
      </c>
      <c r="H22" s="4" t="s">
        <v>45</v>
      </c>
      <c r="I22" s="4" t="s">
        <v>38</v>
      </c>
      <c r="J22" s="4" t="s">
        <v>39</v>
      </c>
      <c r="K22" s="4" t="s">
        <v>45</v>
      </c>
      <c r="L22" s="4" t="s">
        <v>42</v>
      </c>
      <c r="M22" s="4" t="s">
        <v>43</v>
      </c>
      <c r="N22" s="4" t="s">
        <v>44</v>
      </c>
      <c r="O22" s="4" t="s">
        <v>41</v>
      </c>
    </row>
    <row r="23" spans="1:16">
      <c r="A23" t="s">
        <v>46</v>
      </c>
      <c r="B23" s="3">
        <f>CODE(B22)</f>
        <v>97</v>
      </c>
      <c r="C23" s="3">
        <f t="shared" ref="C23:O23" si="4">CODE(C22)</f>
        <v>116</v>
      </c>
      <c r="D23" s="3">
        <f t="shared" si="4"/>
        <v>116</v>
      </c>
      <c r="E23" s="3">
        <f t="shared" si="4"/>
        <v>97</v>
      </c>
      <c r="F23" s="3">
        <f t="shared" si="4"/>
        <v>99</v>
      </c>
      <c r="G23" s="3">
        <f t="shared" si="4"/>
        <v>107</v>
      </c>
      <c r="H23" s="3">
        <f t="shared" si="4"/>
        <v>32</v>
      </c>
      <c r="I23" s="3">
        <f t="shared" si="4"/>
        <v>97</v>
      </c>
      <c r="J23" s="3">
        <f t="shared" si="4"/>
        <v>116</v>
      </c>
      <c r="K23" s="3">
        <f t="shared" si="4"/>
        <v>32</v>
      </c>
      <c r="L23" s="3">
        <f t="shared" si="4"/>
        <v>100</v>
      </c>
      <c r="M23" s="3">
        <f t="shared" si="4"/>
        <v>117</v>
      </c>
      <c r="N23" s="3">
        <f t="shared" si="4"/>
        <v>115</v>
      </c>
      <c r="O23" s="3">
        <f t="shared" si="4"/>
        <v>107</v>
      </c>
      <c r="P23" s="7"/>
    </row>
    <row r="24" spans="1:16">
      <c r="A24" s="7" t="s">
        <v>47</v>
      </c>
      <c r="B24" s="3" t="str">
        <f>IF(LEN(B23)&lt;3,AddLeadingZeroes(B23,3),B23)</f>
        <v>097</v>
      </c>
      <c r="C24" s="3">
        <f t="shared" ref="C24:O24" si="5">IF(LEN(C23)&lt;3,AddLeadingZeroes(C23,3),C23)</f>
        <v>116</v>
      </c>
      <c r="D24" s="3">
        <f t="shared" si="5"/>
        <v>116</v>
      </c>
      <c r="E24" s="3" t="str">
        <f t="shared" si="5"/>
        <v>097</v>
      </c>
      <c r="F24" s="3" t="str">
        <f t="shared" si="5"/>
        <v>099</v>
      </c>
      <c r="G24" s="3">
        <f t="shared" si="5"/>
        <v>107</v>
      </c>
      <c r="H24" s="3" t="str">
        <f t="shared" si="5"/>
        <v>032</v>
      </c>
      <c r="I24" s="3" t="str">
        <f t="shared" si="5"/>
        <v>097</v>
      </c>
      <c r="J24" s="3">
        <f>IF(LEN(J23)&lt;3,AddLeadingZeroes(J23,3),J23)</f>
        <v>116</v>
      </c>
      <c r="K24" s="3" t="str">
        <f t="shared" si="5"/>
        <v>032</v>
      </c>
      <c r="L24" s="3">
        <f t="shared" si="5"/>
        <v>100</v>
      </c>
      <c r="M24" s="3">
        <f t="shared" si="5"/>
        <v>117</v>
      </c>
      <c r="N24" s="3">
        <f t="shared" si="5"/>
        <v>115</v>
      </c>
      <c r="O24" s="3">
        <f t="shared" si="5"/>
        <v>107</v>
      </c>
      <c r="P24" s="7"/>
    </row>
    <row r="25" spans="1:16">
      <c r="A25" t="s">
        <v>48</v>
      </c>
      <c r="B25" s="7" t="str">
        <f>DEC2OCT(B23)</f>
        <v>141</v>
      </c>
      <c r="C25" s="7" t="str">
        <f>DEC2OCT(C23)</f>
        <v>164</v>
      </c>
      <c r="D25" s="7" t="str">
        <f>DEC2OCT(D23)</f>
        <v>164</v>
      </c>
      <c r="E25" s="7" t="str">
        <f>DEC2OCT(E23)</f>
        <v>141</v>
      </c>
      <c r="F25" s="7" t="str">
        <f>DEC2OCT(F23)</f>
        <v>143</v>
      </c>
      <c r="G25" s="7" t="str">
        <f>DEC2OCT(G23)</f>
        <v>153</v>
      </c>
      <c r="H25" s="7" t="str">
        <f>DEC2OCT(H23)</f>
        <v>40</v>
      </c>
      <c r="I25" s="7" t="str">
        <f>DEC2OCT(I23)</f>
        <v>141</v>
      </c>
      <c r="J25" s="7" t="str">
        <f>DEC2OCT(J23)</f>
        <v>164</v>
      </c>
      <c r="K25" s="7" t="str">
        <f>DEC2OCT(K23)</f>
        <v>40</v>
      </c>
      <c r="L25" s="7" t="str">
        <f>DEC2OCT(L23)</f>
        <v>144</v>
      </c>
      <c r="M25" s="7" t="str">
        <f>DEC2OCT(M23)</f>
        <v>165</v>
      </c>
      <c r="N25" s="7" t="str">
        <f>DEC2OCT(N23)</f>
        <v>163</v>
      </c>
      <c r="O25" s="7" t="str">
        <f>DEC2OCT(O23)</f>
        <v>153</v>
      </c>
    </row>
    <row r="26" spans="1:16">
      <c r="A26" t="s">
        <v>49</v>
      </c>
      <c r="B26" s="4" t="str">
        <f>IF(LEN(B25)&lt;LEN(B24),AddLeadingZeroes(B25,LEN(B24)),B25)</f>
        <v>141</v>
      </c>
      <c r="C26" s="4" t="str">
        <f t="shared" ref="C26:O26" si="6">IF(LEN(C25)&lt;LEN(C24),AddLeadingZeroes(C25,LEN(C24)),C25)</f>
        <v>164</v>
      </c>
      <c r="D26" s="4" t="str">
        <f t="shared" si="6"/>
        <v>164</v>
      </c>
      <c r="E26" s="4" t="str">
        <f t="shared" si="6"/>
        <v>141</v>
      </c>
      <c r="F26" s="4" t="str">
        <f t="shared" si="6"/>
        <v>143</v>
      </c>
      <c r="G26" s="4" t="str">
        <f t="shared" si="6"/>
        <v>153</v>
      </c>
      <c r="H26" s="4" t="str">
        <f t="shared" si="6"/>
        <v>040</v>
      </c>
      <c r="I26" s="4" t="str">
        <f t="shared" si="6"/>
        <v>141</v>
      </c>
      <c r="J26" s="4" t="str">
        <f t="shared" si="6"/>
        <v>164</v>
      </c>
      <c r="K26" s="4" t="str">
        <f t="shared" si="6"/>
        <v>040</v>
      </c>
      <c r="L26" s="4" t="str">
        <f t="shared" si="6"/>
        <v>144</v>
      </c>
      <c r="M26" s="4" t="str">
        <f t="shared" si="6"/>
        <v>165</v>
      </c>
      <c r="N26" s="4" t="str">
        <f t="shared" si="6"/>
        <v>163</v>
      </c>
      <c r="O26" s="4" t="str">
        <f t="shared" si="6"/>
        <v>153</v>
      </c>
    </row>
    <row r="27" spans="1:16"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</row>
    <row r="28" spans="1:16">
      <c r="A28" t="s">
        <v>52</v>
      </c>
      <c r="B28" s="4" t="str">
        <f>DEC2BIN(B23,8)</f>
        <v>01100001</v>
      </c>
      <c r="C28" s="4" t="str">
        <f t="shared" ref="C28:O28" si="7">DEC2BIN(C23,8)</f>
        <v>01110100</v>
      </c>
      <c r="D28" s="4" t="str">
        <f t="shared" si="7"/>
        <v>01110100</v>
      </c>
      <c r="E28" s="4" t="str">
        <f t="shared" si="7"/>
        <v>01100001</v>
      </c>
      <c r="F28" s="4" t="str">
        <f t="shared" si="7"/>
        <v>01100011</v>
      </c>
      <c r="G28" s="4" t="str">
        <f t="shared" si="7"/>
        <v>01101011</v>
      </c>
      <c r="H28" s="4" t="str">
        <f t="shared" si="7"/>
        <v>00100000</v>
      </c>
      <c r="I28" s="4" t="str">
        <f t="shared" si="7"/>
        <v>01100001</v>
      </c>
      <c r="J28" s="4" t="str">
        <f t="shared" si="7"/>
        <v>01110100</v>
      </c>
      <c r="K28" s="4" t="str">
        <f t="shared" si="7"/>
        <v>00100000</v>
      </c>
      <c r="L28" s="4" t="str">
        <f t="shared" si="7"/>
        <v>01100100</v>
      </c>
      <c r="M28" s="4" t="str">
        <f t="shared" si="7"/>
        <v>01110101</v>
      </c>
      <c r="N28" s="4" t="str">
        <f t="shared" si="7"/>
        <v>01110011</v>
      </c>
      <c r="O28" s="4" t="str">
        <f t="shared" si="7"/>
        <v>01101011</v>
      </c>
    </row>
    <row r="29" spans="1:16">
      <c r="A29" t="s">
        <v>53</v>
      </c>
      <c r="B29" s="4" t="str">
        <f>B19</f>
        <v>01101000</v>
      </c>
      <c r="C29" s="4" t="str">
        <f t="shared" ref="C29:O29" si="8">C19</f>
        <v>10010101</v>
      </c>
      <c r="D29" s="4" t="str">
        <f t="shared" si="8"/>
        <v>10110001</v>
      </c>
      <c r="E29" s="4" t="str">
        <f t="shared" si="8"/>
        <v>10010110</v>
      </c>
      <c r="F29" s="4" t="str">
        <f t="shared" si="8"/>
        <v>01101001</v>
      </c>
      <c r="G29" s="4" t="str">
        <f t="shared" si="8"/>
        <v>00001110</v>
      </c>
      <c r="H29" s="4" t="str">
        <f t="shared" si="8"/>
        <v>10001100</v>
      </c>
      <c r="I29" s="4" t="str">
        <f t="shared" si="8"/>
        <v>00110000</v>
      </c>
      <c r="J29" s="4" t="str">
        <f t="shared" si="8"/>
        <v>11100000</v>
      </c>
      <c r="K29" s="4" t="str">
        <f t="shared" si="8"/>
        <v>01111000</v>
      </c>
      <c r="L29" s="4" t="str">
        <f t="shared" si="8"/>
        <v>10000011</v>
      </c>
      <c r="M29" s="4" t="str">
        <f t="shared" si="8"/>
        <v>10000100</v>
      </c>
      <c r="N29" s="4" t="str">
        <f t="shared" si="8"/>
        <v>01001000</v>
      </c>
      <c r="O29" s="4" t="str">
        <f t="shared" si="8"/>
        <v>01011000</v>
      </c>
    </row>
    <row r="30" spans="1:16">
      <c r="A30" t="s">
        <v>23</v>
      </c>
      <c r="B30" s="4" t="str">
        <f>IF(LEN(B32)&lt;LEN(B29),AddLeadingZeroes(B32,LEN(B29)),B32)</f>
        <v>00001001</v>
      </c>
      <c r="C30" s="4" t="str">
        <f t="shared" ref="C30:O30" si="9">IF(LEN(C32)&lt;LEN(C29),AddLeadingZeroes(C32,LEN(C29)),C32)</f>
        <v>11100001</v>
      </c>
      <c r="D30" s="4" t="str">
        <f t="shared" si="9"/>
        <v>11000101</v>
      </c>
      <c r="E30" s="4" t="str">
        <f t="shared" si="9"/>
        <v>11110111</v>
      </c>
      <c r="F30" s="4" t="str">
        <f t="shared" si="9"/>
        <v>00001010</v>
      </c>
      <c r="G30" s="4" t="str">
        <f t="shared" si="9"/>
        <v>01100101</v>
      </c>
      <c r="H30" s="4" t="str">
        <f t="shared" si="9"/>
        <v>10101100</v>
      </c>
      <c r="I30" s="4" t="str">
        <f t="shared" si="9"/>
        <v>01010001</v>
      </c>
      <c r="J30" s="4" t="str">
        <f t="shared" si="9"/>
        <v>10010100</v>
      </c>
      <c r="K30" s="4" t="str">
        <f t="shared" si="9"/>
        <v>01011000</v>
      </c>
      <c r="L30" s="4" t="str">
        <f t="shared" si="9"/>
        <v>11100111</v>
      </c>
      <c r="M30" s="4" t="str">
        <f t="shared" si="9"/>
        <v>11110001</v>
      </c>
      <c r="N30" s="4" t="str">
        <f t="shared" si="9"/>
        <v>00111011</v>
      </c>
      <c r="O30" s="4" t="str">
        <f t="shared" si="9"/>
        <v>00110011</v>
      </c>
    </row>
    <row r="31" spans="1:16"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</row>
    <row r="32" spans="1:16">
      <c r="A32" t="s">
        <v>22</v>
      </c>
      <c r="B32" s="4" t="str">
        <f>Exor(B28,B29)</f>
        <v>1001</v>
      </c>
      <c r="C32" s="4" t="str">
        <f t="shared" ref="C32:O32" si="10">Exor(C28,C29)</f>
        <v>11100001</v>
      </c>
      <c r="D32" s="4" t="str">
        <f t="shared" si="10"/>
        <v>11000101</v>
      </c>
      <c r="E32" s="4" t="str">
        <f t="shared" si="10"/>
        <v>11110111</v>
      </c>
      <c r="F32" s="4" t="str">
        <f t="shared" si="10"/>
        <v>1010</v>
      </c>
      <c r="G32" s="4" t="str">
        <f t="shared" si="10"/>
        <v>1100101</v>
      </c>
      <c r="H32" s="4" t="str">
        <f t="shared" si="10"/>
        <v>10101100</v>
      </c>
      <c r="I32" s="4" t="str">
        <f t="shared" si="10"/>
        <v>1010001</v>
      </c>
      <c r="J32" s="4" t="str">
        <f t="shared" si="10"/>
        <v>10010100</v>
      </c>
      <c r="K32" s="4" t="str">
        <f t="shared" si="10"/>
        <v>1011000</v>
      </c>
      <c r="L32" s="4" t="str">
        <f t="shared" si="10"/>
        <v>11100111</v>
      </c>
      <c r="M32" s="4" t="str">
        <f t="shared" si="10"/>
        <v>11110001</v>
      </c>
      <c r="N32" s="4" t="str">
        <f t="shared" si="10"/>
        <v>111011</v>
      </c>
      <c r="O32" s="4" t="str">
        <f t="shared" si="10"/>
        <v>110011</v>
      </c>
    </row>
    <row r="33" spans="1:15"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</row>
    <row r="34" spans="1:15">
      <c r="A34" t="s">
        <v>54</v>
      </c>
      <c r="B34" s="4" t="str">
        <f>BIN2HEX(B30,2)</f>
        <v>09</v>
      </c>
      <c r="C34" s="4" t="str">
        <f>BIN2HEX(C30,2)</f>
        <v>E1</v>
      </c>
      <c r="D34" s="4" t="str">
        <f t="shared" ref="C34:O34" si="11">BIN2HEX(D30,2)</f>
        <v>C5</v>
      </c>
      <c r="E34" s="4" t="str">
        <f t="shared" si="11"/>
        <v>F7</v>
      </c>
      <c r="F34" s="4" t="str">
        <f t="shared" si="11"/>
        <v>0A</v>
      </c>
      <c r="G34" s="4" t="str">
        <f t="shared" si="11"/>
        <v>65</v>
      </c>
      <c r="H34" s="4" t="str">
        <f t="shared" si="11"/>
        <v>AC</v>
      </c>
      <c r="I34" s="4" t="str">
        <f t="shared" si="11"/>
        <v>51</v>
      </c>
      <c r="J34" s="4" t="str">
        <f t="shared" si="11"/>
        <v>94</v>
      </c>
      <c r="K34" s="4" t="str">
        <f t="shared" si="11"/>
        <v>58</v>
      </c>
      <c r="L34" s="4" t="str">
        <f t="shared" si="11"/>
        <v>E7</v>
      </c>
      <c r="M34" s="4" t="str">
        <f t="shared" si="11"/>
        <v>F1</v>
      </c>
      <c r="N34" s="4" t="str">
        <f t="shared" si="11"/>
        <v>3B</v>
      </c>
      <c r="O34" s="4" t="str">
        <f t="shared" si="11"/>
        <v>33</v>
      </c>
    </row>
    <row r="35" spans="1:15"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</row>
    <row r="36" spans="1:15"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</row>
    <row r="37" spans="1:15"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</row>
    <row r="38" spans="1:15"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</row>
    <row r="39" spans="1:15"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Sheet8</vt:lpstr>
      <vt:lpstr>Sheet1</vt:lpstr>
      <vt:lpstr>Sheet2</vt:lpstr>
      <vt:lpstr>Sheet3</vt:lpstr>
      <vt:lpstr>Sheet1!coursera_quiz1_pb7a</vt:lpstr>
      <vt:lpstr>Sheet8!coursera_quiz1_pb7a</vt:lpstr>
      <vt:lpstr>Sheet8!coursera_quiz1_pb7a_1</vt:lpstr>
      <vt:lpstr>Sheet8!coursera_quiz1_pb7b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MainUser</dc:creator>
  <cp:lastModifiedBy>MainUser</cp:lastModifiedBy>
  <dcterms:created xsi:type="dcterms:W3CDTF">2019-04-01T02:15:16Z</dcterms:created>
  <dcterms:modified xsi:type="dcterms:W3CDTF">2019-04-01T06:10:04Z</dcterms:modified>
</cp:coreProperties>
</file>